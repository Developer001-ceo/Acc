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croos_massey_ac_nz/Documents/115.112 2602 Assessments/Assessment 3/"/>
    </mc:Choice>
  </mc:AlternateContent>
  <xr:revisionPtr revIDLastSave="643" documentId="8_{3864D7EB-5BF2-4E7F-B855-DDE3FD7FB38A}" xr6:coauthVersionLast="47" xr6:coauthVersionMax="47" xr10:uidLastSave="{90BC1483-1053-41BC-9C44-271746C8B209}"/>
  <bookViews>
    <workbookView xWindow="28680" yWindow="-120" windowWidth="29040" windowHeight="15720" activeTab="1" xr2:uid="{B7017145-CB50-491D-901D-3EDB2815E808}"/>
  </bookViews>
  <sheets>
    <sheet name="2024" sheetId="1" r:id="rId1"/>
    <sheet name="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U4" i="2"/>
  <c r="E2" i="2"/>
</calcChain>
</file>

<file path=xl/sharedStrings.xml><?xml version="1.0" encoding="utf-8"?>
<sst xmlns="http://schemas.openxmlformats.org/spreadsheetml/2006/main" count="74" uniqueCount="38">
  <si>
    <t>Company</t>
  </si>
  <si>
    <t>Year</t>
  </si>
  <si>
    <t>IS: Net sales</t>
  </si>
  <si>
    <t>IS: Cost of sales</t>
  </si>
  <si>
    <t>IS: Gross Profit</t>
  </si>
  <si>
    <t>IS: Other Income</t>
  </si>
  <si>
    <t>IS: Total Operating Expense</t>
  </si>
  <si>
    <t>IS: Interest Expense</t>
  </si>
  <si>
    <t>IS: Net income</t>
  </si>
  <si>
    <t>BS: Cash and cash equivalents</t>
  </si>
  <si>
    <t>BS: Short Term Marketable Securities &amp; Short Term Notes Receivable</t>
  </si>
  <si>
    <t>BS: Accounts Receivable, net</t>
  </si>
  <si>
    <t>BS: Inventories</t>
  </si>
  <si>
    <t>BS: Prepaid expenses</t>
  </si>
  <si>
    <t>BS: Total current assets</t>
  </si>
  <si>
    <t>BS: Total non-current Assets</t>
  </si>
  <si>
    <t>BS: Total assets</t>
  </si>
  <si>
    <t>BS: Accounts Payables</t>
  </si>
  <si>
    <t>BS: Accrued Expenses</t>
  </si>
  <si>
    <t>BS: Other Current Liabilities</t>
  </si>
  <si>
    <t>BS: Current portion of Long Term debt</t>
  </si>
  <si>
    <t>BS: Income Taxes Payable</t>
  </si>
  <si>
    <t>BS: Total current liabilities</t>
  </si>
  <si>
    <t>BS: Long Term debt</t>
  </si>
  <si>
    <t>BS: Other Long term liabilities</t>
  </si>
  <si>
    <t>BS: Income taxes payable, non-current</t>
  </si>
  <si>
    <t>BS: Total non-current lliabilities</t>
  </si>
  <si>
    <t>BS: Total liabilities</t>
  </si>
  <si>
    <t>BS: Total shareholders’ equity</t>
  </si>
  <si>
    <t>BS: Total liabilities and shareholders’ equity</t>
  </si>
  <si>
    <t>Briscoe Group</t>
  </si>
  <si>
    <t>Fisher &amp; Paykal Healthcare</t>
  </si>
  <si>
    <t>The Warehouse Group</t>
  </si>
  <si>
    <t>Kathmandu</t>
  </si>
  <si>
    <t>The a2 Milk Company</t>
  </si>
  <si>
    <t>IS: Gross profit</t>
  </si>
  <si>
    <t>My Food Bag</t>
  </si>
  <si>
    <t>Turners Automotive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</si>
</sst>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38AA-E357-4218-9DD7-5E3138B317CF}">
  <dimension ref="A1:AD8"/>
  <sheetViews>
    <sheetView workbookViewId="0">
      <selection activeCell="C2" sqref="C2"/>
    </sheetView>
  </sheetViews>
  <sheetFormatPr defaultRowHeight="15" x14ac:dyDescent="0.25"/>
  <cols>
    <col min="1" max="1" width="25.140625" customWidth="1"/>
    <col min="3" max="30" width="18.5703125" customWidth="1"/>
  </cols>
  <sheetData>
    <row r="1" spans="1:30" ht="9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 t="s">
        <v>30</v>
      </c>
      <c r="B2" s="1">
        <v>2024</v>
      </c>
      <c r="C2" s="1">
        <v>791953000</v>
      </c>
      <c r="D2" s="1">
        <v>456191000</v>
      </c>
      <c r="E2" s="1">
        <v>335762000</v>
      </c>
      <c r="F2" s="1">
        <v>9783000</v>
      </c>
      <c r="G2" s="1">
        <v>213040000</v>
      </c>
      <c r="H2" s="1">
        <v>15224000</v>
      </c>
      <c r="I2" s="1">
        <v>117281000</v>
      </c>
      <c r="J2" s="1">
        <v>175441000</v>
      </c>
      <c r="K2" s="1">
        <v>548000</v>
      </c>
      <c r="L2" s="1">
        <v>7738000</v>
      </c>
      <c r="M2" s="1">
        <v>104868000</v>
      </c>
      <c r="N2" s="1">
        <v>0</v>
      </c>
      <c r="O2" s="1">
        <v>288595000</v>
      </c>
      <c r="P2" s="1">
        <v>432561000</v>
      </c>
      <c r="Q2" s="1">
        <v>721156000</v>
      </c>
      <c r="R2" s="1">
        <v>106292000</v>
      </c>
      <c r="S2" s="1">
        <v>259000</v>
      </c>
      <c r="T2" s="1">
        <v>19850000</v>
      </c>
      <c r="U2" s="1">
        <v>0</v>
      </c>
      <c r="V2" s="1">
        <v>8316000</v>
      </c>
      <c r="W2" s="1">
        <v>134717000</v>
      </c>
      <c r="X2" s="1">
        <v>269330000</v>
      </c>
      <c r="Y2" s="1">
        <v>1241000</v>
      </c>
      <c r="Z2" s="1">
        <v>0</v>
      </c>
      <c r="AA2" s="1">
        <v>270571000</v>
      </c>
      <c r="AB2" s="1">
        <v>405288000</v>
      </c>
      <c r="AC2" s="1">
        <v>315868000</v>
      </c>
      <c r="AD2" s="1">
        <v>721156000</v>
      </c>
    </row>
    <row r="3" spans="1:30" x14ac:dyDescent="0.25">
      <c r="A3" s="1" t="s">
        <v>31</v>
      </c>
      <c r="B3" s="1">
        <v>2024</v>
      </c>
      <c r="C3" s="1">
        <v>1742800000</v>
      </c>
      <c r="D3" s="1">
        <v>698400000</v>
      </c>
      <c r="E3" s="1">
        <v>1044400000</v>
      </c>
      <c r="F3" s="1">
        <v>3300000</v>
      </c>
      <c r="G3" s="1">
        <v>793800000</v>
      </c>
      <c r="H3" s="1">
        <v>18200000</v>
      </c>
      <c r="I3" s="1">
        <v>235700000</v>
      </c>
      <c r="J3" s="1">
        <v>82000000</v>
      </c>
      <c r="K3" s="1">
        <v>45300000</v>
      </c>
      <c r="L3" s="1">
        <v>257200000</v>
      </c>
      <c r="M3" s="1">
        <v>320400000</v>
      </c>
      <c r="N3" s="1">
        <v>0</v>
      </c>
      <c r="O3" s="1">
        <v>704900000</v>
      </c>
      <c r="P3" s="1">
        <v>1576800000</v>
      </c>
      <c r="Q3" s="1">
        <v>2281700000</v>
      </c>
      <c r="R3" s="1">
        <v>219900000</v>
      </c>
      <c r="S3" s="1">
        <v>19400000</v>
      </c>
      <c r="T3" s="1">
        <v>48700000</v>
      </c>
      <c r="U3" s="1">
        <v>78500000</v>
      </c>
      <c r="V3" s="1">
        <v>18500000</v>
      </c>
      <c r="W3" s="1">
        <v>385000000</v>
      </c>
      <c r="X3" s="1">
        <v>92900000</v>
      </c>
      <c r="Y3" s="1">
        <v>39100000</v>
      </c>
      <c r="Z3" s="1">
        <v>5600000</v>
      </c>
      <c r="AA3" s="1">
        <v>137600000</v>
      </c>
      <c r="AB3" s="1">
        <v>522600000</v>
      </c>
      <c r="AC3" s="1">
        <v>1759100000</v>
      </c>
      <c r="AD3" s="1">
        <v>2281700000</v>
      </c>
    </row>
    <row r="4" spans="1:30" x14ac:dyDescent="0.25">
      <c r="A4" s="1" t="s">
        <v>32</v>
      </c>
      <c r="B4" s="1">
        <v>2024</v>
      </c>
      <c r="C4" s="1">
        <v>3037597000</v>
      </c>
      <c r="D4" s="1">
        <v>2016731000</v>
      </c>
      <c r="E4" s="1">
        <v>1020866000</v>
      </c>
      <c r="F4" s="1">
        <v>7943000</v>
      </c>
      <c r="G4" s="1">
        <v>969871000</v>
      </c>
      <c r="H4" s="1">
        <v>38377000</v>
      </c>
      <c r="I4" s="1">
        <v>20561000</v>
      </c>
      <c r="J4" s="1">
        <v>32204000</v>
      </c>
      <c r="K4" s="1">
        <v>13565000</v>
      </c>
      <c r="L4" s="1">
        <v>72901000</v>
      </c>
      <c r="M4" s="1">
        <v>472128000</v>
      </c>
      <c r="N4" s="1">
        <v>0</v>
      </c>
      <c r="O4" s="1">
        <v>590798000</v>
      </c>
      <c r="P4" s="1">
        <v>1064075000</v>
      </c>
      <c r="Q4" s="1">
        <v>1654873000</v>
      </c>
      <c r="R4" s="1">
        <v>461453000</v>
      </c>
      <c r="S4" s="1">
        <v>78000</v>
      </c>
      <c r="T4" s="1">
        <v>142651000</v>
      </c>
      <c r="U4" s="1">
        <v>82900000</v>
      </c>
      <c r="V4" s="1">
        <v>0</v>
      </c>
      <c r="W4" s="1">
        <v>687082000</v>
      </c>
      <c r="X4" s="1">
        <v>636714000</v>
      </c>
      <c r="Y4" s="1">
        <v>20342000</v>
      </c>
      <c r="Z4" s="1">
        <v>0</v>
      </c>
      <c r="AA4" s="1">
        <v>657056000</v>
      </c>
      <c r="AB4" s="1">
        <v>1344138000</v>
      </c>
      <c r="AC4" s="1">
        <v>310735000</v>
      </c>
      <c r="AD4" s="1">
        <v>1654873000</v>
      </c>
    </row>
    <row r="5" spans="1:30" x14ac:dyDescent="0.25">
      <c r="A5" s="1" t="s">
        <v>33</v>
      </c>
      <c r="B5" s="1">
        <v>2024</v>
      </c>
      <c r="C5" s="1">
        <v>979415000</v>
      </c>
      <c r="D5" s="1">
        <v>407880000</v>
      </c>
      <c r="E5" s="1">
        <v>571535000</v>
      </c>
      <c r="F5" s="1">
        <v>4153000</v>
      </c>
      <c r="G5" s="1">
        <v>595434000</v>
      </c>
      <c r="H5" s="1">
        <v>26966000</v>
      </c>
      <c r="I5" s="1">
        <v>-46712000</v>
      </c>
      <c r="J5" s="1">
        <v>33948000</v>
      </c>
      <c r="K5" s="1">
        <v>15004000</v>
      </c>
      <c r="L5" s="1">
        <v>88992000</v>
      </c>
      <c r="M5" s="1">
        <v>266877000</v>
      </c>
      <c r="N5" s="1">
        <v>0</v>
      </c>
      <c r="O5" s="1">
        <v>404821000</v>
      </c>
      <c r="P5" s="1">
        <v>1032779000</v>
      </c>
      <c r="Q5" s="1">
        <v>1437600000</v>
      </c>
      <c r="R5" s="1">
        <v>157556000</v>
      </c>
      <c r="S5" s="1">
        <v>140000</v>
      </c>
      <c r="T5" s="1">
        <v>84776000</v>
      </c>
      <c r="U5" s="1">
        <v>0</v>
      </c>
      <c r="V5" s="1">
        <v>845000</v>
      </c>
      <c r="W5" s="1">
        <v>243317000</v>
      </c>
      <c r="X5" s="1">
        <v>319141000</v>
      </c>
      <c r="Y5" s="1">
        <v>0</v>
      </c>
      <c r="Z5" s="1">
        <v>89464000</v>
      </c>
      <c r="AA5" s="1">
        <v>408605000</v>
      </c>
      <c r="AB5" s="1">
        <v>651922000</v>
      </c>
      <c r="AC5" s="1">
        <v>785678000</v>
      </c>
      <c r="AD5" s="1">
        <v>1437600000</v>
      </c>
    </row>
    <row r="6" spans="1:30" x14ac:dyDescent="0.25">
      <c r="A6" s="1" t="s">
        <v>34</v>
      </c>
      <c r="B6" s="1">
        <v>2024</v>
      </c>
      <c r="C6" s="1">
        <v>1673323000</v>
      </c>
      <c r="D6" s="1">
        <v>906694000</v>
      </c>
      <c r="E6" s="1">
        <v>766629000</v>
      </c>
      <c r="F6" s="1">
        <v>42524000</v>
      </c>
      <c r="G6" s="1">
        <v>521516000</v>
      </c>
      <c r="H6" s="1">
        <v>4497000</v>
      </c>
      <c r="I6" s="1">
        <v>283140000</v>
      </c>
      <c r="J6" s="1">
        <v>968943000</v>
      </c>
      <c r="K6" s="1">
        <v>8739000</v>
      </c>
      <c r="L6" s="1">
        <v>78070000</v>
      </c>
      <c r="M6" s="1">
        <v>179648000</v>
      </c>
      <c r="N6" s="1">
        <v>52545000</v>
      </c>
      <c r="O6" s="1">
        <v>1287945000</v>
      </c>
      <c r="P6" s="1">
        <v>446930000</v>
      </c>
      <c r="Q6" s="1">
        <v>1734875000</v>
      </c>
      <c r="R6" s="1">
        <v>347569000</v>
      </c>
      <c r="S6" s="1">
        <v>0</v>
      </c>
      <c r="T6" s="1">
        <v>11821000</v>
      </c>
      <c r="U6" s="1">
        <v>0</v>
      </c>
      <c r="V6" s="1">
        <v>57384000</v>
      </c>
      <c r="W6" s="1">
        <v>416774000</v>
      </c>
      <c r="X6" s="1">
        <v>60622000</v>
      </c>
      <c r="Y6" s="1">
        <v>706000</v>
      </c>
      <c r="Z6" s="1">
        <v>0</v>
      </c>
      <c r="AA6" s="1">
        <v>61328000</v>
      </c>
      <c r="AB6" s="1">
        <v>478102000</v>
      </c>
      <c r="AC6" s="1">
        <v>1256773000</v>
      </c>
      <c r="AD6" s="1">
        <v>1734875000</v>
      </c>
    </row>
    <row r="7" spans="1:30" x14ac:dyDescent="0.25">
      <c r="A7" s="1" t="s">
        <v>36</v>
      </c>
      <c r="B7" s="1">
        <v>2024</v>
      </c>
      <c r="C7">
        <v>162235000</v>
      </c>
      <c r="D7">
        <v>125517000</v>
      </c>
      <c r="E7" s="1">
        <v>36718000</v>
      </c>
      <c r="F7">
        <v>36718000</v>
      </c>
      <c r="G7">
        <v>62847000</v>
      </c>
      <c r="H7">
        <v>1971000</v>
      </c>
      <c r="I7" s="1">
        <v>8618000</v>
      </c>
      <c r="J7">
        <v>150000</v>
      </c>
      <c r="K7">
        <v>0</v>
      </c>
      <c r="L7">
        <v>311000</v>
      </c>
      <c r="M7">
        <v>449000</v>
      </c>
      <c r="N7">
        <v>728000</v>
      </c>
      <c r="O7">
        <v>1638000</v>
      </c>
      <c r="P7">
        <v>102481000</v>
      </c>
      <c r="Q7" s="1">
        <v>104119000</v>
      </c>
      <c r="R7">
        <v>9086000</v>
      </c>
      <c r="S7">
        <v>1149000</v>
      </c>
      <c r="T7">
        <v>5214000</v>
      </c>
      <c r="U7">
        <v>0</v>
      </c>
      <c r="V7">
        <v>949000</v>
      </c>
      <c r="W7">
        <v>16398000</v>
      </c>
      <c r="X7">
        <v>11446000</v>
      </c>
      <c r="Y7">
        <v>7654000</v>
      </c>
      <c r="Z7">
        <v>4029000</v>
      </c>
      <c r="AA7">
        <v>23129000</v>
      </c>
      <c r="AB7" s="1">
        <v>39527000</v>
      </c>
      <c r="AC7">
        <v>64592000</v>
      </c>
      <c r="AD7" s="1">
        <v>104119000</v>
      </c>
    </row>
    <row r="8" spans="1:30" x14ac:dyDescent="0.25">
      <c r="A8" s="1" t="s">
        <v>37</v>
      </c>
      <c r="B8" s="1">
        <v>2024</v>
      </c>
      <c r="C8">
        <v>416145000</v>
      </c>
      <c r="D8">
        <v>177175000</v>
      </c>
      <c r="E8" s="1">
        <v>238970000</v>
      </c>
      <c r="F8">
        <v>823000</v>
      </c>
      <c r="G8">
        <v>162812000</v>
      </c>
      <c r="H8">
        <v>27842000</v>
      </c>
      <c r="I8" s="1">
        <v>49139000</v>
      </c>
      <c r="J8">
        <v>17523000</v>
      </c>
      <c r="K8">
        <v>518059000</v>
      </c>
      <c r="L8">
        <v>7277000</v>
      </c>
      <c r="M8">
        <v>25051000</v>
      </c>
      <c r="N8">
        <v>0</v>
      </c>
      <c r="O8" s="1">
        <v>567910000</v>
      </c>
      <c r="P8" s="1">
        <v>297748000</v>
      </c>
      <c r="Q8" s="1">
        <v>865658000</v>
      </c>
      <c r="R8">
        <v>20963000</v>
      </c>
      <c r="S8">
        <v>21256000</v>
      </c>
      <c r="T8">
        <v>7430000</v>
      </c>
      <c r="U8">
        <v>0</v>
      </c>
      <c r="V8">
        <v>20220000</v>
      </c>
      <c r="W8" s="1">
        <v>69869000</v>
      </c>
      <c r="X8">
        <v>425318000</v>
      </c>
      <c r="Y8">
        <v>92247000</v>
      </c>
      <c r="Z8" s="1">
        <v>0</v>
      </c>
      <c r="AA8" s="1">
        <v>517565000</v>
      </c>
      <c r="AB8" s="1">
        <v>587434000</v>
      </c>
      <c r="AC8">
        <v>278224000</v>
      </c>
      <c r="AD8" s="1">
        <v>865658000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6487-8ECF-436F-865B-0535606C53DA}">
  <dimension ref="A1:AD8"/>
  <sheetViews>
    <sheetView tabSelected="1" workbookViewId="0">
      <selection activeCell="B17" sqref="B17"/>
    </sheetView>
  </sheetViews>
  <sheetFormatPr defaultRowHeight="15" x14ac:dyDescent="0.25"/>
  <cols>
    <col min="1" max="1" width="24.85546875" bestFit="1" customWidth="1"/>
    <col min="3" max="30" width="19" customWidth="1"/>
  </cols>
  <sheetData>
    <row r="1" spans="1:30" ht="93.75" customHeight="1" x14ac:dyDescent="0.25">
      <c r="A1" s="3" t="s">
        <v>0</v>
      </c>
      <c r="B1" s="3" t="s">
        <v>1</v>
      </c>
      <c r="C1" s="2" t="s">
        <v>2</v>
      </c>
      <c r="D1" s="2" t="s">
        <v>3</v>
      </c>
      <c r="E1" s="2" t="s">
        <v>35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 t="s">
        <v>30</v>
      </c>
      <c r="B2">
        <v>2025</v>
      </c>
      <c r="C2" s="1">
        <v>791469000</v>
      </c>
      <c r="D2" s="1">
        <v>471928000</v>
      </c>
      <c r="E2" s="1">
        <f>+C2-D2</f>
        <v>319541000</v>
      </c>
      <c r="F2" s="1">
        <v>6402000</v>
      </c>
      <c r="G2" s="1">
        <v>215415000</v>
      </c>
      <c r="H2" s="1">
        <v>15451000</v>
      </c>
      <c r="I2" s="1">
        <v>95077000</v>
      </c>
      <c r="J2" s="1">
        <v>142401000</v>
      </c>
      <c r="K2" s="1">
        <v>3058000</v>
      </c>
      <c r="L2" s="1">
        <v>6830000</v>
      </c>
      <c r="M2" s="1">
        <v>99696000</v>
      </c>
      <c r="N2" s="1">
        <v>0</v>
      </c>
      <c r="O2" s="1">
        <v>251985000</v>
      </c>
      <c r="P2" s="1">
        <v>440505000</v>
      </c>
      <c r="Q2" s="1">
        <v>692490000</v>
      </c>
      <c r="R2" s="1">
        <v>109301000</v>
      </c>
      <c r="S2" s="1">
        <v>34000</v>
      </c>
      <c r="T2" s="1">
        <v>20674000</v>
      </c>
      <c r="U2" s="1">
        <v>0</v>
      </c>
      <c r="V2" s="1">
        <v>5247000</v>
      </c>
      <c r="W2" s="1">
        <v>135256000</v>
      </c>
      <c r="X2" s="1">
        <v>256028000</v>
      </c>
      <c r="Y2" s="1">
        <v>1411000</v>
      </c>
      <c r="Z2" s="1">
        <v>0</v>
      </c>
      <c r="AA2" s="1">
        <v>257439000</v>
      </c>
      <c r="AB2" s="1">
        <v>392695000</v>
      </c>
      <c r="AC2" s="1">
        <v>299795000</v>
      </c>
      <c r="AD2" s="1">
        <v>692490000</v>
      </c>
    </row>
    <row r="3" spans="1:30" x14ac:dyDescent="0.25">
      <c r="A3" s="1" t="s">
        <v>31</v>
      </c>
      <c r="B3">
        <v>2025</v>
      </c>
      <c r="C3" s="1">
        <v>2021000000</v>
      </c>
      <c r="D3" s="1">
        <v>750100000</v>
      </c>
      <c r="E3" s="1">
        <v>1270900000</v>
      </c>
      <c r="F3" s="1">
        <v>4300000</v>
      </c>
      <c r="G3" s="1">
        <v>760800000</v>
      </c>
      <c r="H3" s="1">
        <v>11100000</v>
      </c>
      <c r="I3" s="1">
        <v>503300000</v>
      </c>
      <c r="J3" s="1">
        <v>264500000</v>
      </c>
      <c r="K3" s="1">
        <v>9900000</v>
      </c>
      <c r="L3" s="1">
        <v>304600000</v>
      </c>
      <c r="M3" s="1">
        <v>342900000</v>
      </c>
      <c r="N3" s="1">
        <v>13500000</v>
      </c>
      <c r="O3" s="1">
        <v>935400000</v>
      </c>
      <c r="P3" s="1">
        <v>1615400000</v>
      </c>
      <c r="Q3" s="1">
        <v>2550800000</v>
      </c>
      <c r="R3" s="1">
        <v>271800000</v>
      </c>
      <c r="S3" s="1">
        <v>41000000</v>
      </c>
      <c r="T3" s="1">
        <v>48200000</v>
      </c>
      <c r="U3" s="1">
        <v>64000000</v>
      </c>
      <c r="V3" s="1">
        <v>75400000</v>
      </c>
      <c r="W3" s="1">
        <v>500400000</v>
      </c>
      <c r="X3" s="1">
        <v>66900000</v>
      </c>
      <c r="Y3" s="1">
        <v>84400000</v>
      </c>
      <c r="Z3" s="1">
        <v>8700000</v>
      </c>
      <c r="AA3" s="1">
        <v>160000000</v>
      </c>
      <c r="AB3" s="1">
        <v>660400000</v>
      </c>
      <c r="AC3" s="1">
        <v>1890400000</v>
      </c>
      <c r="AD3" s="1">
        <v>2550800000</v>
      </c>
    </row>
    <row r="4" spans="1:30" x14ac:dyDescent="0.25">
      <c r="A4" s="1" t="s">
        <v>32</v>
      </c>
      <c r="B4">
        <v>2025</v>
      </c>
      <c r="C4" s="1">
        <v>3086725000</v>
      </c>
      <c r="D4" s="1">
        <v>2091643000</v>
      </c>
      <c r="E4" s="1">
        <v>995082000</v>
      </c>
      <c r="F4" s="1">
        <v>14314000</v>
      </c>
      <c r="G4" s="1">
        <v>968880000</v>
      </c>
      <c r="H4" s="1">
        <v>43515000</v>
      </c>
      <c r="I4" s="1">
        <v>-2999000</v>
      </c>
      <c r="J4" s="1">
        <v>39206000</v>
      </c>
      <c r="K4" s="1">
        <v>6381000</v>
      </c>
      <c r="L4" s="1">
        <v>69871000</v>
      </c>
      <c r="M4" s="1">
        <v>476718000</v>
      </c>
      <c r="N4" s="1">
        <v>0</v>
      </c>
      <c r="O4" s="1">
        <v>592176000</v>
      </c>
      <c r="P4" s="1">
        <v>1001721000</v>
      </c>
      <c r="Q4" s="1">
        <v>1593897000</v>
      </c>
      <c r="R4" s="1">
        <v>376758000</v>
      </c>
      <c r="S4" s="1">
        <v>3768000</v>
      </c>
      <c r="T4" s="1">
        <f>42926000+92522000</f>
        <v>135448000</v>
      </c>
      <c r="U4" s="1">
        <f>135300000</f>
        <v>135300000</v>
      </c>
      <c r="V4" s="1">
        <v>0</v>
      </c>
      <c r="W4" s="1">
        <v>651274000</v>
      </c>
      <c r="X4" s="1">
        <v>621317000</v>
      </c>
      <c r="Y4" s="1">
        <v>20810000</v>
      </c>
      <c r="Z4" s="1">
        <v>0</v>
      </c>
      <c r="AA4" s="1">
        <v>642127000</v>
      </c>
      <c r="AB4" s="1">
        <v>1293401000</v>
      </c>
      <c r="AC4" s="1">
        <v>300496000</v>
      </c>
      <c r="AD4" s="1">
        <v>1593897000</v>
      </c>
    </row>
    <row r="5" spans="1:30" x14ac:dyDescent="0.25">
      <c r="A5" s="1" t="s">
        <v>33</v>
      </c>
      <c r="B5">
        <v>2025</v>
      </c>
      <c r="C5" s="1">
        <v>989015000</v>
      </c>
      <c r="D5" s="1">
        <v>429755000</v>
      </c>
      <c r="E5" s="1">
        <v>559260000</v>
      </c>
      <c r="F5" s="1">
        <v>5941000</v>
      </c>
      <c r="G5" s="1">
        <v>642960000</v>
      </c>
      <c r="H5" s="1">
        <v>26901000</v>
      </c>
      <c r="I5" s="1">
        <v>-104660000</v>
      </c>
      <c r="J5" s="1">
        <v>34284000</v>
      </c>
      <c r="K5" s="1">
        <v>7074000</v>
      </c>
      <c r="L5" s="1">
        <v>92291000</v>
      </c>
      <c r="M5" s="1">
        <v>254039000</v>
      </c>
      <c r="N5" s="1">
        <v>0</v>
      </c>
      <c r="O5" s="1">
        <v>387688000</v>
      </c>
      <c r="P5" s="1">
        <v>962964000</v>
      </c>
      <c r="Q5" s="1">
        <v>1350652000</v>
      </c>
      <c r="R5" s="1">
        <v>188670000</v>
      </c>
      <c r="S5" s="1">
        <v>2225000</v>
      </c>
      <c r="T5" s="1">
        <v>88157000</v>
      </c>
      <c r="U5" s="1">
        <v>0</v>
      </c>
      <c r="V5" s="1">
        <v>588000</v>
      </c>
      <c r="W5" s="1">
        <v>279640000</v>
      </c>
      <c r="X5" s="1">
        <v>310206000</v>
      </c>
      <c r="Y5" s="1">
        <v>0</v>
      </c>
      <c r="Z5" s="1">
        <v>70864000</v>
      </c>
      <c r="AA5" s="1">
        <v>381070000</v>
      </c>
      <c r="AB5" s="1">
        <v>660710000</v>
      </c>
      <c r="AC5" s="1">
        <v>689942000</v>
      </c>
      <c r="AD5" s="1">
        <v>1350652000</v>
      </c>
    </row>
    <row r="6" spans="1:30" x14ac:dyDescent="0.25">
      <c r="A6" s="1" t="s">
        <v>34</v>
      </c>
      <c r="B6">
        <v>2025</v>
      </c>
      <c r="C6" s="1">
        <v>1899273000</v>
      </c>
      <c r="D6" s="1">
        <v>1024118000</v>
      </c>
      <c r="E6" s="1">
        <v>875155000</v>
      </c>
      <c r="F6" s="1">
        <v>48167000</v>
      </c>
      <c r="G6" s="1">
        <v>629774000</v>
      </c>
      <c r="H6" s="1">
        <v>4296000</v>
      </c>
      <c r="I6" s="1">
        <v>289252000</v>
      </c>
      <c r="J6" s="1">
        <v>1100171000</v>
      </c>
      <c r="K6" s="1">
        <v>10949000</v>
      </c>
      <c r="L6" s="1">
        <v>92246000</v>
      </c>
      <c r="M6" s="1">
        <v>139113000</v>
      </c>
      <c r="N6" s="1">
        <v>108522000</v>
      </c>
      <c r="O6" s="1">
        <v>1451001000</v>
      </c>
      <c r="P6" s="1">
        <v>491110000</v>
      </c>
      <c r="Q6" s="1">
        <v>1942111000</v>
      </c>
      <c r="R6" s="1">
        <v>353537000</v>
      </c>
      <c r="S6" s="1">
        <v>0</v>
      </c>
      <c r="T6" s="1">
        <v>13551000</v>
      </c>
      <c r="U6" s="1">
        <v>39000000</v>
      </c>
      <c r="V6" s="1">
        <v>43992000</v>
      </c>
      <c r="W6" s="1">
        <v>450080000</v>
      </c>
      <c r="X6" s="1">
        <v>56367000</v>
      </c>
      <c r="Y6" s="1">
        <v>4924000</v>
      </c>
      <c r="Z6" s="1">
        <v>0</v>
      </c>
      <c r="AA6" s="1">
        <v>61291000</v>
      </c>
      <c r="AB6" s="1">
        <v>511371000</v>
      </c>
      <c r="AC6" s="1">
        <v>1430740000</v>
      </c>
      <c r="AD6" s="1">
        <v>1942111000</v>
      </c>
    </row>
    <row r="7" spans="1:30" x14ac:dyDescent="0.25">
      <c r="A7" s="1" t="s">
        <v>36</v>
      </c>
      <c r="B7" s="1">
        <v>2025</v>
      </c>
      <c r="C7">
        <v>162102000</v>
      </c>
      <c r="D7">
        <v>124403000</v>
      </c>
      <c r="E7" s="1">
        <v>37699000</v>
      </c>
      <c r="F7">
        <v>150000</v>
      </c>
      <c r="G7">
        <v>27629000</v>
      </c>
      <c r="H7">
        <v>1584000</v>
      </c>
      <c r="I7" s="1">
        <v>8636000</v>
      </c>
      <c r="J7">
        <v>1534000</v>
      </c>
      <c r="K7">
        <v>0</v>
      </c>
      <c r="L7">
        <v>575000</v>
      </c>
      <c r="M7">
        <v>404000</v>
      </c>
      <c r="N7">
        <v>710000</v>
      </c>
      <c r="O7">
        <v>3223000</v>
      </c>
      <c r="P7">
        <v>100294000</v>
      </c>
      <c r="Q7" s="1">
        <v>103517000</v>
      </c>
      <c r="R7">
        <v>9413000</v>
      </c>
      <c r="S7">
        <v>1400000</v>
      </c>
      <c r="T7">
        <v>5333000</v>
      </c>
      <c r="U7">
        <v>0</v>
      </c>
      <c r="V7">
        <v>619000</v>
      </c>
      <c r="W7">
        <v>16765000</v>
      </c>
      <c r="X7">
        <v>5473000</v>
      </c>
      <c r="Y7">
        <v>8669000</v>
      </c>
      <c r="Z7">
        <v>3947000</v>
      </c>
      <c r="AA7">
        <v>18089000</v>
      </c>
      <c r="AB7" s="1">
        <v>34854000</v>
      </c>
      <c r="AC7">
        <v>68663000</v>
      </c>
      <c r="AD7" s="1">
        <v>103517000</v>
      </c>
    </row>
    <row r="8" spans="1:30" x14ac:dyDescent="0.25">
      <c r="A8" s="1" t="s">
        <v>37</v>
      </c>
      <c r="B8" s="1">
        <v>2025</v>
      </c>
      <c r="C8">
        <v>412904000</v>
      </c>
      <c r="D8">
        <v>167501000</v>
      </c>
      <c r="E8" s="1">
        <v>245403000</v>
      </c>
      <c r="F8">
        <v>1263000</v>
      </c>
      <c r="G8">
        <v>164941000</v>
      </c>
      <c r="H8">
        <v>27451000</v>
      </c>
      <c r="I8" s="1">
        <v>54274000</v>
      </c>
      <c r="J8">
        <v>22039000</v>
      </c>
      <c r="K8">
        <v>543093000</v>
      </c>
      <c r="L8">
        <v>7533000</v>
      </c>
      <c r="M8">
        <v>22189000</v>
      </c>
      <c r="N8">
        <v>0</v>
      </c>
      <c r="O8" s="1">
        <v>594854000</v>
      </c>
      <c r="P8" s="1">
        <v>322918000</v>
      </c>
      <c r="Q8" s="1">
        <v>917772000</v>
      </c>
      <c r="R8">
        <v>25246000</v>
      </c>
      <c r="S8">
        <v>24342000</v>
      </c>
      <c r="T8">
        <v>11053000</v>
      </c>
      <c r="U8">
        <v>0</v>
      </c>
      <c r="V8">
        <v>21497000</v>
      </c>
      <c r="W8" s="1">
        <v>82138000</v>
      </c>
      <c r="X8">
        <v>446059000</v>
      </c>
      <c r="Y8">
        <v>91082000</v>
      </c>
      <c r="Z8" s="1">
        <v>0</v>
      </c>
      <c r="AA8" s="1">
        <v>537141000</v>
      </c>
      <c r="AB8" s="1">
        <v>619279000</v>
      </c>
      <c r="AC8">
        <v>298493000</v>
      </c>
      <c r="AD8" s="1">
        <v>917772000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Roos, Christelle</dc:creator>
  <cp:keywords/>
  <dc:description/>
  <cp:lastModifiedBy>Christelle Roos</cp:lastModifiedBy>
  <cp:revision/>
  <dcterms:created xsi:type="dcterms:W3CDTF">2023-03-27T23:58:36Z</dcterms:created>
  <dcterms:modified xsi:type="dcterms:W3CDTF">2026-07-13T23:55:19Z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2023-03-28T00:01:45Z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892dfbdd-2ad9-4547-938c-806baddb94dc</vt:lpwstr>
  </property>
  <property fmtid="{D5CDD505-2E9C-101B-9397-08002B2CF9AE}" pid="8" name="MSIP_Label_bd9e4d68-54d0-40a5-8c9a-85a36c87352c_ContentBits">
    <vt:lpwstr>0</vt:lpwstr>
  </property>
</Properties>
</file>